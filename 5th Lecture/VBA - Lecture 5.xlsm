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svcorp-my.sharepoint.com/personal/kim_pambid_dsv_com/Documents/Documents/DSV Work Files/G. Lecture/5th Lecture/"/>
    </mc:Choice>
  </mc:AlternateContent>
  <xr:revisionPtr revIDLastSave="222" documentId="8_{83DAF213-E290-48A4-8322-9010671E10A4}" xr6:coauthVersionLast="47" xr6:coauthVersionMax="47" xr10:uidLastSave="{6B372402-0A64-4ABB-A945-296BA0772BBB}"/>
  <bookViews>
    <workbookView xWindow="-110" yWindow="-110" windowWidth="19420" windowHeight="10420" activeTab="2" xr2:uid="{F64FF89E-F87C-48CE-B5A5-FFF6E0603D68}"/>
  </bookViews>
  <sheets>
    <sheet name="Sheet1" sheetId="1" r:id="rId1"/>
    <sheet name="Sample Production" sheetId="2" r:id="rId2"/>
    <sheet name="Header Lis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V2" i="2"/>
  <c r="V3" i="2"/>
  <c r="V4" i="2"/>
  <c r="V5" i="2"/>
  <c r="V6" i="2"/>
  <c r="V7" i="2"/>
  <c r="V8" i="2"/>
  <c r="V9" i="2"/>
  <c r="V10" i="2"/>
  <c r="V11" i="2"/>
  <c r="V12" i="2"/>
  <c r="U12" i="2"/>
  <c r="B12" i="2"/>
  <c r="U11" i="2"/>
  <c r="B11" i="2"/>
  <c r="U10" i="2"/>
  <c r="B10" i="2"/>
  <c r="U9" i="2"/>
  <c r="B9" i="2"/>
  <c r="U8" i="2"/>
  <c r="B8" i="2"/>
  <c r="U7" i="2"/>
  <c r="B7" i="2"/>
  <c r="U6" i="2"/>
  <c r="B6" i="2"/>
  <c r="U5" i="2"/>
  <c r="B5" i="2"/>
  <c r="U4" i="2"/>
  <c r="B4" i="2"/>
  <c r="U3" i="2"/>
  <c r="B3" i="2"/>
  <c r="U2" i="2"/>
  <c r="B2" i="2"/>
</calcChain>
</file>

<file path=xl/sharedStrings.xml><?xml version="1.0" encoding="utf-8"?>
<sst xmlns="http://schemas.openxmlformats.org/spreadsheetml/2006/main" count="65" uniqueCount="29">
  <si>
    <t>S No.</t>
  </si>
  <si>
    <t>Checking you own work?</t>
  </si>
  <si>
    <t>Monitored on</t>
  </si>
  <si>
    <t>Monitored by</t>
  </si>
  <si>
    <t>Company Code</t>
  </si>
  <si>
    <t>Invoice ID</t>
  </si>
  <si>
    <t>SAP user name</t>
  </si>
  <si>
    <t>Posting date</t>
  </si>
  <si>
    <t>Amount</t>
  </si>
  <si>
    <t>Vendor</t>
  </si>
  <si>
    <t>Currency</t>
  </si>
  <si>
    <t>Assigned Company Code</t>
  </si>
  <si>
    <t>Reference</t>
  </si>
  <si>
    <t>Amounts correctly splited per CC</t>
  </si>
  <si>
    <t>GL Account</t>
  </si>
  <si>
    <t>Cost Center / Internal order / COPA</t>
  </si>
  <si>
    <t>Tax Code</t>
  </si>
  <si>
    <t>Coding Error Posting Date</t>
  </si>
  <si>
    <t>Sent to proper approver</t>
  </si>
  <si>
    <t>empyt</t>
  </si>
  <si>
    <t>Sum of all errors</t>
  </si>
  <si>
    <t>R123</t>
  </si>
  <si>
    <t>KKPREN</t>
  </si>
  <si>
    <t>KKFIZE</t>
  </si>
  <si>
    <t>KKJARA</t>
  </si>
  <si>
    <t>KKDAWN</t>
  </si>
  <si>
    <t>Error Field</t>
  </si>
  <si>
    <t>Production Date(Month-Day)</t>
  </si>
  <si>
    <t>Header Designation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</si>
</sst>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indexed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099FF"/>
        <bgColor indexed="64"/>
      </patternFill>
    </fill>
    <fill>
      <patternFill patternType="solid">
        <fgColor rgb="FFEAB2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3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1" fontId="4" fillId="3" borderId="1" xfId="1" applyNumberFormat="1" applyFont="1" applyFill="1" applyBorder="1" applyAlignment="1">
      <alignment horizontal="center" vertical="top" wrapText="1"/>
    </xf>
    <xf numFmtId="49" fontId="4" fillId="3" borderId="1" xfId="1" applyNumberFormat="1" applyFont="1" applyFill="1" applyBorder="1" applyAlignment="1">
      <alignment horizontal="center" vertical="top" wrapText="1"/>
    </xf>
    <xf numFmtId="14" fontId="4" fillId="3" borderId="1" xfId="2" applyNumberFormat="1" applyFont="1" applyFill="1" applyBorder="1" applyAlignment="1">
      <alignment horizontal="center" vertical="top" wrapText="1"/>
    </xf>
    <xf numFmtId="49" fontId="4" fillId="3" borderId="1" xfId="3" applyNumberFormat="1" applyFont="1" applyFill="1" applyBorder="1" applyAlignment="1">
      <alignment horizontal="center" vertical="top" wrapText="1"/>
    </xf>
    <xf numFmtId="49" fontId="5" fillId="3" borderId="1" xfId="1" applyNumberFormat="1" applyFont="1" applyFill="1" applyBorder="1" applyAlignment="1">
      <alignment horizontal="center" vertical="top" wrapText="1"/>
    </xf>
    <xf numFmtId="1" fontId="4" fillId="3" borderId="1" xfId="3" applyNumberFormat="1" applyFont="1" applyFill="1" applyBorder="1" applyAlignment="1">
      <alignment horizontal="center" vertical="top" wrapText="1"/>
    </xf>
    <xf numFmtId="14" fontId="5" fillId="3" borderId="1" xfId="3" applyNumberFormat="1" applyFont="1" applyFill="1" applyBorder="1" applyAlignment="1">
      <alignment horizontal="center" vertical="top" wrapText="1"/>
    </xf>
    <xf numFmtId="49" fontId="6" fillId="4" borderId="1" xfId="1" applyNumberFormat="1" applyFont="1" applyFill="1" applyBorder="1" applyAlignment="1">
      <alignment horizontal="center" vertical="top" wrapText="1"/>
    </xf>
    <xf numFmtId="49" fontId="5" fillId="4" borderId="1" xfId="1" applyNumberFormat="1" applyFont="1" applyFill="1" applyBorder="1" applyAlignment="1">
      <alignment horizontal="center" vertical="top" wrapText="1"/>
    </xf>
    <xf numFmtId="49" fontId="6" fillId="5" borderId="1" xfId="1" applyNumberFormat="1" applyFont="1" applyFill="1" applyBorder="1" applyAlignment="1">
      <alignment horizontal="center" vertical="top" wrapText="1"/>
    </xf>
    <xf numFmtId="49" fontId="5" fillId="5" borderId="1" xfId="1" applyNumberFormat="1" applyFont="1" applyFill="1" applyBorder="1" applyAlignment="1">
      <alignment horizontal="center" vertical="top" wrapText="1"/>
    </xf>
    <xf numFmtId="49" fontId="6" fillId="6" borderId="0" xfId="1" applyNumberFormat="1" applyFont="1" applyFill="1" applyAlignment="1">
      <alignment horizontal="center" vertical="top" wrapText="1"/>
    </xf>
    <xf numFmtId="49" fontId="6" fillId="7" borderId="1" xfId="1" applyNumberFormat="1" applyFont="1" applyFill="1" applyBorder="1" applyAlignment="1">
      <alignment horizontal="center" vertical="top" wrapText="1"/>
    </xf>
    <xf numFmtId="1" fontId="7" fillId="8" borderId="2" xfId="1" applyNumberFormat="1" applyFont="1" applyFill="1" applyBorder="1" applyAlignment="1">
      <alignment horizontal="center" vertical="center"/>
    </xf>
    <xf numFmtId="49" fontId="7" fillId="8" borderId="2" xfId="1" applyNumberFormat="1" applyFont="1" applyFill="1" applyBorder="1" applyAlignment="1">
      <alignment horizontal="center" vertical="center"/>
    </xf>
    <xf numFmtId="14" fontId="7" fillId="0" borderId="3" xfId="1" applyNumberFormat="1" applyFont="1" applyBorder="1" applyAlignment="1">
      <alignment horizontal="center" vertical="center"/>
    </xf>
    <xf numFmtId="49" fontId="7" fillId="0" borderId="3" xfId="1" applyNumberFormat="1" applyFont="1" applyBorder="1" applyAlignment="1">
      <alignment horizontal="center" vertical="center"/>
    </xf>
    <xf numFmtId="49" fontId="0" fillId="0" borderId="0" xfId="0" applyNumberFormat="1"/>
    <xf numFmtId="1" fontId="0" fillId="0" borderId="0" xfId="0" applyNumberFormat="1"/>
    <xf numFmtId="14" fontId="0" fillId="0" borderId="0" xfId="0" applyNumberFormat="1"/>
    <xf numFmtId="49" fontId="7" fillId="9" borderId="4" xfId="1" applyNumberFormat="1" applyFont="1" applyFill="1" applyBorder="1" applyAlignment="1">
      <alignment horizontal="center" vertical="center"/>
    </xf>
    <xf numFmtId="49" fontId="6" fillId="7" borderId="5" xfId="1" applyNumberFormat="1" applyFont="1" applyFill="1" applyBorder="1" applyAlignment="1">
      <alignment horizontal="center" vertical="top" wrapText="1"/>
    </xf>
    <xf numFmtId="0" fontId="0" fillId="0" borderId="3" xfId="0" applyBorder="1"/>
    <xf numFmtId="0" fontId="0" fillId="0" borderId="6" xfId="0" applyBorder="1"/>
    <xf numFmtId="1" fontId="0" fillId="0" borderId="3" xfId="0" applyNumberFormat="1" applyBorder="1"/>
    <xf numFmtId="1" fontId="7" fillId="0" borderId="3" xfId="1" applyNumberFormat="1" applyFont="1" applyBorder="1" applyAlignment="1">
      <alignment horizontal="center" vertical="center"/>
    </xf>
    <xf numFmtId="0" fontId="2" fillId="5" borderId="3" xfId="0" applyFont="1" applyFill="1" applyBorder="1"/>
  </cellXfs>
  <cellStyles count="5">
    <cellStyle name="Neutral 4" xfId="4" xr:uid="{D6427B7A-ACD9-4065-8576-3CCD2D0FEE40}"/>
    <cellStyle name="Normal" xfId="0" builtinId="0"/>
    <cellStyle name="Normal 3 2 2 26" xfId="3" xr:uid="{96E379EE-12B7-4A2A-BB33-847DB3F3F9AE}"/>
    <cellStyle name="Normal 5 3 7" xfId="2" xr:uid="{D035E1F6-3044-4708-BBE0-0BFBAACD16A5}"/>
    <cellStyle name="Normal 709 2" xfId="1" xr:uid="{951F4526-0ACF-4059-98F6-8384D1DEBB11}"/>
  </cellStyles>
  <dxfs count="10">
    <dxf>
      <fill>
        <patternFill>
          <bgColor rgb="FF00C057"/>
        </patternFill>
      </fill>
    </dxf>
    <dxf>
      <fill>
        <patternFill patternType="solid">
          <bgColor rgb="FFFF5050"/>
        </patternFill>
      </fill>
    </dxf>
    <dxf>
      <fill>
        <patternFill>
          <bgColor rgb="FF00C057"/>
        </patternFill>
      </fill>
    </dxf>
    <dxf>
      <fill>
        <patternFill patternType="solid">
          <bgColor rgb="FFFF5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C057"/>
        </patternFill>
      </fill>
    </dxf>
    <dxf>
      <fill>
        <patternFill patternType="solid">
          <bgColor rgb="FFFF5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C9AAE-7E87-475F-82B0-104CF1DDA64C}">
  <sheetPr codeName="Sheet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3DA2-F438-47BD-8E7B-334ADDCE05B7}">
  <sheetPr codeName="Sheet2"/>
  <dimension ref="A1:W12"/>
  <sheetViews>
    <sheetView zoomScaleNormal="100" workbookViewId="0">
      <selection sqref="A1:S1"/>
    </sheetView>
  </sheetViews>
  <sheetFormatPr defaultRowHeight="14.5" x14ac:dyDescent="0.35"/>
  <cols>
    <col min="8" max="8" width="10.453125" bestFit="1" customWidth="1"/>
  </cols>
  <sheetData>
    <row r="1" spans="1:23" ht="73" thickBot="1" x14ac:dyDescent="0.4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6" t="s">
        <v>5</v>
      </c>
      <c r="G1" s="4" t="s">
        <v>6</v>
      </c>
      <c r="H1" s="7" t="s">
        <v>7</v>
      </c>
      <c r="I1" s="8" t="s">
        <v>8</v>
      </c>
      <c r="J1" s="8" t="s">
        <v>9</v>
      </c>
      <c r="K1" s="8" t="s">
        <v>10</v>
      </c>
      <c r="L1" s="9" t="s">
        <v>11</v>
      </c>
      <c r="M1" s="8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1" t="s">
        <v>17</v>
      </c>
      <c r="S1" s="10" t="s">
        <v>18</v>
      </c>
      <c r="T1" s="12" t="s">
        <v>19</v>
      </c>
      <c r="U1" s="13" t="s">
        <v>20</v>
      </c>
      <c r="V1" s="22" t="s">
        <v>27</v>
      </c>
      <c r="W1" s="22" t="s">
        <v>26</v>
      </c>
    </row>
    <row r="2" spans="1:23" x14ac:dyDescent="0.35">
      <c r="A2" s="14">
        <v>1</v>
      </c>
      <c r="B2" s="15" t="str">
        <f t="shared" ref="B2:B12" si="0">IF(D2="","",IF(D2=G2,"Yes","No"))</f>
        <v/>
      </c>
      <c r="C2" s="16"/>
      <c r="D2" s="17"/>
      <c r="E2" s="18" t="s">
        <v>21</v>
      </c>
      <c r="F2" s="19">
        <v>16287362</v>
      </c>
      <c r="G2" s="18" t="s">
        <v>22</v>
      </c>
      <c r="H2" s="20">
        <v>45369</v>
      </c>
      <c r="I2" s="26">
        <v>1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12"/>
      <c r="U2" s="21">
        <f t="shared" ref="U2:U7" si="1">IF(SUM(I2:S2)&gt;0,1,0)</f>
        <v>1</v>
      </c>
      <c r="V2" s="24" t="str">
        <f t="shared" ref="V2:V12" si="2">CHOOSE(MONTH(VALUE($H2)),"Jan", "Feb", "Mar", "Apr", "May", "Jun", "Jul", "Aug", "Sep", "Oct", "Nov", "Dec")</f>
        <v>Mar</v>
      </c>
      <c r="W2" s="25" t="str">
        <f t="shared" ref="W2:W12" si="3">IF($I2=1,$I$1&amp;", ","") &amp; IF($J2=1,$J$1&amp;", ","")&amp; IF($K2=1,$K$1&amp;", ","")&amp; IF($L2=1,$L$1&amp;", ","")&amp; IF($M2=1,$M$1&amp;", ","")&amp;IF($N2=1,$N$1&amp;", ","") &amp; IF($O2=1,$O$1&amp;", ","")&amp; IF($P2=1,$P$1&amp;", ","")&amp; IF($Q2=1,$Q$1&amp;", ","")&amp; IF($R2=1,$R$1&amp;", ","")&amp; IF($S2=1,$S$1&amp;", ","")</f>
        <v xml:space="preserve">Amount, </v>
      </c>
    </row>
    <row r="3" spans="1:23" x14ac:dyDescent="0.35">
      <c r="A3" s="14">
        <v>2</v>
      </c>
      <c r="B3" s="15" t="str">
        <f t="shared" si="0"/>
        <v/>
      </c>
      <c r="C3" s="16"/>
      <c r="D3" s="17"/>
      <c r="E3" s="18" t="s">
        <v>21</v>
      </c>
      <c r="F3" s="19">
        <v>75387458</v>
      </c>
      <c r="G3" s="18" t="s">
        <v>23</v>
      </c>
      <c r="H3" s="20">
        <v>45355</v>
      </c>
      <c r="I3" s="26"/>
      <c r="J3" s="26"/>
      <c r="K3" s="26"/>
      <c r="L3" s="26"/>
      <c r="M3" s="26">
        <v>1</v>
      </c>
      <c r="N3" s="26"/>
      <c r="O3" s="26"/>
      <c r="P3" s="26"/>
      <c r="Q3" s="26"/>
      <c r="R3" s="26"/>
      <c r="S3" s="26"/>
      <c r="T3" s="12"/>
      <c r="U3" s="21">
        <f t="shared" si="1"/>
        <v>1</v>
      </c>
      <c r="V3" s="24" t="str">
        <f t="shared" si="2"/>
        <v>Mar</v>
      </c>
      <c r="W3" s="25" t="str">
        <f t="shared" si="3"/>
        <v xml:space="preserve">Reference, </v>
      </c>
    </row>
    <row r="4" spans="1:23" x14ac:dyDescent="0.35">
      <c r="A4" s="14">
        <v>3</v>
      </c>
      <c r="B4" s="15" t="str">
        <f t="shared" si="0"/>
        <v/>
      </c>
      <c r="C4" s="16"/>
      <c r="D4" s="17"/>
      <c r="E4" s="18" t="s">
        <v>21</v>
      </c>
      <c r="F4" s="19">
        <v>85984398</v>
      </c>
      <c r="G4" s="18" t="s">
        <v>23</v>
      </c>
      <c r="H4" s="20">
        <v>45355</v>
      </c>
      <c r="I4" s="26"/>
      <c r="J4" s="26"/>
      <c r="K4" s="26"/>
      <c r="L4" s="26"/>
      <c r="M4" s="26"/>
      <c r="N4" s="26"/>
      <c r="O4" s="26"/>
      <c r="P4" s="26">
        <v>1</v>
      </c>
      <c r="Q4" s="26"/>
      <c r="R4" s="26"/>
      <c r="S4" s="26"/>
      <c r="T4" s="12"/>
      <c r="U4" s="21">
        <f t="shared" si="1"/>
        <v>1</v>
      </c>
      <c r="V4" s="24" t="str">
        <f t="shared" si="2"/>
        <v>Mar</v>
      </c>
      <c r="W4" s="25" t="str">
        <f t="shared" si="3"/>
        <v xml:space="preserve">Cost Center / Internal order / COPA, </v>
      </c>
    </row>
    <row r="5" spans="1:23" x14ac:dyDescent="0.35">
      <c r="A5" s="14">
        <v>5</v>
      </c>
      <c r="B5" s="15" t="str">
        <f t="shared" si="0"/>
        <v/>
      </c>
      <c r="C5" s="16"/>
      <c r="D5" s="17"/>
      <c r="E5" s="18" t="s">
        <v>21</v>
      </c>
      <c r="F5" s="19">
        <v>23423444</v>
      </c>
      <c r="G5" s="18" t="s">
        <v>24</v>
      </c>
      <c r="H5" s="20">
        <v>45349</v>
      </c>
      <c r="I5" s="26"/>
      <c r="J5" s="26"/>
      <c r="K5" s="26"/>
      <c r="L5" s="26"/>
      <c r="M5" s="26"/>
      <c r="N5" s="26"/>
      <c r="O5" s="26"/>
      <c r="P5" s="26"/>
      <c r="Q5" s="26"/>
      <c r="R5" s="26">
        <v>1</v>
      </c>
      <c r="S5" s="26"/>
      <c r="T5" s="12"/>
      <c r="U5" s="21">
        <f t="shared" si="1"/>
        <v>1</v>
      </c>
      <c r="V5" s="24" t="str">
        <f t="shared" si="2"/>
        <v>Feb</v>
      </c>
      <c r="W5" s="25" t="str">
        <f t="shared" si="3"/>
        <v xml:space="preserve">Coding Error Posting Date, </v>
      </c>
    </row>
    <row r="6" spans="1:23" x14ac:dyDescent="0.35">
      <c r="A6" s="14">
        <v>4</v>
      </c>
      <c r="B6" s="15" t="str">
        <f t="shared" si="0"/>
        <v/>
      </c>
      <c r="C6" s="16"/>
      <c r="D6" s="17"/>
      <c r="E6" s="18" t="s">
        <v>21</v>
      </c>
      <c r="F6" s="19">
        <v>34364343</v>
      </c>
      <c r="G6" s="18" t="s">
        <v>24</v>
      </c>
      <c r="H6" s="20">
        <v>45349</v>
      </c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12"/>
      <c r="U6" s="21">
        <f t="shared" si="1"/>
        <v>0</v>
      </c>
      <c r="V6" s="24" t="str">
        <f t="shared" si="2"/>
        <v>Feb</v>
      </c>
      <c r="W6" s="25" t="str">
        <f t="shared" si="3"/>
        <v/>
      </c>
    </row>
    <row r="7" spans="1:23" x14ac:dyDescent="0.35">
      <c r="A7" s="14">
        <v>6</v>
      </c>
      <c r="B7" s="15" t="str">
        <f t="shared" si="0"/>
        <v/>
      </c>
      <c r="C7" s="16"/>
      <c r="D7" s="17"/>
      <c r="E7" s="18" t="s">
        <v>21</v>
      </c>
      <c r="F7" s="19">
        <v>35599880</v>
      </c>
      <c r="G7" s="18" t="s">
        <v>24</v>
      </c>
      <c r="H7" s="20">
        <v>45349</v>
      </c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12"/>
      <c r="U7" s="21">
        <f t="shared" si="1"/>
        <v>0</v>
      </c>
      <c r="V7" s="24" t="str">
        <f t="shared" si="2"/>
        <v>Feb</v>
      </c>
      <c r="W7" s="25" t="str">
        <f t="shared" si="3"/>
        <v/>
      </c>
    </row>
    <row r="8" spans="1:23" x14ac:dyDescent="0.35">
      <c r="A8" s="14">
        <v>7</v>
      </c>
      <c r="B8" s="15" t="str">
        <f t="shared" si="0"/>
        <v/>
      </c>
      <c r="C8" s="16"/>
      <c r="D8" s="17"/>
      <c r="E8" s="18" t="s">
        <v>21</v>
      </c>
      <c r="F8" s="19">
        <v>12334589</v>
      </c>
      <c r="G8" s="18" t="s">
        <v>24</v>
      </c>
      <c r="H8" s="20">
        <v>45352</v>
      </c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12"/>
      <c r="U8" s="21">
        <f t="shared" ref="U8:U12" si="4">IF(SUM(I8:S8)&gt;0,1,0)</f>
        <v>0</v>
      </c>
      <c r="V8" s="24" t="str">
        <f t="shared" si="2"/>
        <v>Mar</v>
      </c>
      <c r="W8" s="25" t="str">
        <f t="shared" si="3"/>
        <v/>
      </c>
    </row>
    <row r="9" spans="1:23" x14ac:dyDescent="0.35">
      <c r="A9" s="14">
        <v>8</v>
      </c>
      <c r="B9" s="15" t="str">
        <f t="shared" si="0"/>
        <v/>
      </c>
      <c r="C9" s="16"/>
      <c r="D9" s="17"/>
      <c r="E9" s="18" t="s">
        <v>21</v>
      </c>
      <c r="F9" s="19">
        <v>98098987</v>
      </c>
      <c r="G9" s="18" t="s">
        <v>24</v>
      </c>
      <c r="H9" s="20">
        <v>45364</v>
      </c>
      <c r="I9" s="26"/>
      <c r="J9" s="26"/>
      <c r="K9" s="26">
        <v>1</v>
      </c>
      <c r="L9" s="26"/>
      <c r="M9" s="26"/>
      <c r="N9" s="26"/>
      <c r="O9" s="26"/>
      <c r="P9" s="26"/>
      <c r="Q9" s="26"/>
      <c r="R9" s="26"/>
      <c r="S9" s="26"/>
      <c r="T9" s="12"/>
      <c r="U9" s="21">
        <f t="shared" si="4"/>
        <v>1</v>
      </c>
      <c r="V9" s="24" t="str">
        <f t="shared" si="2"/>
        <v>Mar</v>
      </c>
      <c r="W9" s="25" t="str">
        <f t="shared" si="3"/>
        <v xml:space="preserve">Currency, </v>
      </c>
    </row>
    <row r="10" spans="1:23" x14ac:dyDescent="0.35">
      <c r="A10" s="14">
        <v>9</v>
      </c>
      <c r="B10" s="15" t="str">
        <f t="shared" si="0"/>
        <v/>
      </c>
      <c r="C10" s="16"/>
      <c r="D10" s="17"/>
      <c r="E10" s="18" t="s">
        <v>21</v>
      </c>
      <c r="F10" s="19">
        <v>12312321</v>
      </c>
      <c r="G10" s="18" t="s">
        <v>24</v>
      </c>
      <c r="H10" s="20">
        <v>45342</v>
      </c>
      <c r="I10" s="26"/>
      <c r="J10" s="26"/>
      <c r="K10" s="26"/>
      <c r="L10" s="26"/>
      <c r="M10" s="26"/>
      <c r="N10" s="26">
        <v>1</v>
      </c>
      <c r="O10" s="26"/>
      <c r="P10" s="26"/>
      <c r="Q10" s="26"/>
      <c r="R10" s="26"/>
      <c r="S10" s="26"/>
      <c r="T10" s="12"/>
      <c r="U10" s="21">
        <f t="shared" si="4"/>
        <v>1</v>
      </c>
      <c r="V10" s="24" t="str">
        <f t="shared" si="2"/>
        <v>Feb</v>
      </c>
      <c r="W10" s="25" t="str">
        <f t="shared" si="3"/>
        <v xml:space="preserve">Amounts correctly splited per CC, </v>
      </c>
    </row>
    <row r="11" spans="1:23" x14ac:dyDescent="0.35">
      <c r="A11" s="14">
        <v>10</v>
      </c>
      <c r="B11" s="15" t="str">
        <f t="shared" si="0"/>
        <v/>
      </c>
      <c r="C11" s="16"/>
      <c r="D11" s="17"/>
      <c r="E11" s="18" t="s">
        <v>21</v>
      </c>
      <c r="F11" s="19">
        <v>99765433</v>
      </c>
      <c r="G11" s="18" t="s">
        <v>24</v>
      </c>
      <c r="H11" s="20">
        <v>45348</v>
      </c>
      <c r="I11" s="26"/>
      <c r="J11" s="26">
        <v>1</v>
      </c>
      <c r="K11" s="26"/>
      <c r="L11" s="26"/>
      <c r="M11" s="26"/>
      <c r="N11" s="26"/>
      <c r="O11" s="26"/>
      <c r="P11" s="26"/>
      <c r="Q11" s="26"/>
      <c r="R11" s="26"/>
      <c r="S11" s="26"/>
      <c r="T11" s="12"/>
      <c r="U11" s="21">
        <f t="shared" si="4"/>
        <v>1</v>
      </c>
      <c r="V11" s="24" t="str">
        <f t="shared" si="2"/>
        <v>Feb</v>
      </c>
      <c r="W11" s="25" t="str">
        <f t="shared" si="3"/>
        <v xml:space="preserve">Vendor, </v>
      </c>
    </row>
    <row r="12" spans="1:23" x14ac:dyDescent="0.35">
      <c r="A12" s="14">
        <v>11</v>
      </c>
      <c r="B12" s="15" t="str">
        <f t="shared" si="0"/>
        <v/>
      </c>
      <c r="C12" s="16"/>
      <c r="D12" s="17"/>
      <c r="E12" s="18" t="s">
        <v>21</v>
      </c>
      <c r="F12" s="19">
        <v>67665434</v>
      </c>
      <c r="G12" s="18" t="s">
        <v>25</v>
      </c>
      <c r="H12" s="20">
        <v>45356</v>
      </c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12"/>
      <c r="U12" s="21">
        <f t="shared" si="4"/>
        <v>0</v>
      </c>
      <c r="V12" s="24" t="str">
        <f t="shared" si="2"/>
        <v>Mar</v>
      </c>
      <c r="W12" s="25" t="str">
        <f t="shared" si="3"/>
        <v/>
      </c>
    </row>
  </sheetData>
  <conditionalFormatting sqref="A2:A12">
    <cfRule type="containsText" dxfId="9" priority="9" operator="containsText" text="NO">
      <formula>NOT(ISERROR(SEARCH("NO",A2)))</formula>
    </cfRule>
    <cfRule type="containsText" dxfId="8" priority="10" operator="containsText" text="YES">
      <formula>NOT(ISERROR(SEARCH("YES",A2)))</formula>
    </cfRule>
  </conditionalFormatting>
  <conditionalFormatting sqref="J2:Q12">
    <cfRule type="cellIs" dxfId="7" priority="7" operator="equal">
      <formula>1</formula>
    </cfRule>
    <cfRule type="containsBlanks" dxfId="6" priority="8">
      <formula>LEN(TRIM(J2))=0</formula>
    </cfRule>
  </conditionalFormatting>
  <conditionalFormatting sqref="B2:B12">
    <cfRule type="containsText" dxfId="5" priority="5" operator="containsText" text="NO">
      <formula>NOT(ISERROR(SEARCH("NO",B2)))</formula>
    </cfRule>
    <cfRule type="containsText" dxfId="4" priority="6" operator="containsText" text="YES">
      <formula>NOT(ISERROR(SEARCH("YES",B2)))</formula>
    </cfRule>
  </conditionalFormatting>
  <conditionalFormatting sqref="I2:I12">
    <cfRule type="cellIs" dxfId="3" priority="3" operator="equal">
      <formula>1</formula>
    </cfRule>
    <cfRule type="containsBlanks" dxfId="2" priority="4">
      <formula>LEN(TRIM(I2))=0</formula>
    </cfRule>
  </conditionalFormatting>
  <conditionalFormatting sqref="R2:S12">
    <cfRule type="cellIs" dxfId="1" priority="1" operator="equal">
      <formula>1</formula>
    </cfRule>
    <cfRule type="containsBlanks" dxfId="0" priority="2">
      <formula>LEN(TRIM(R2))=0</formula>
    </cfRule>
  </conditionalFormatting>
  <dataValidations count="1">
    <dataValidation type="list" allowBlank="1" showInputMessage="1" showErrorMessage="1" sqref="I2:S12" xr:uid="{F731C854-8D70-4CC6-8E21-7CCCCE6A3E20}">
      <formula1>"1, 0"</formula1>
    </dataValidation>
  </dataValidations>
  <pageMargins left="0.7" right="0.7" top="0.75" bottom="0.75" header="0.3" footer="0.3"/>
  <pageSetup paperSize="9" orientation="portrait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53878-746C-439E-9509-ECBAEDEADCF4}">
  <dimension ref="A1:A20"/>
  <sheetViews>
    <sheetView tabSelected="1" workbookViewId="0">
      <selection activeCell="H14" sqref="H14"/>
    </sheetView>
  </sheetViews>
  <sheetFormatPr defaultRowHeight="14.5" x14ac:dyDescent="0.35"/>
  <cols>
    <col min="1" max="1" width="30.6328125" bestFit="1" customWidth="1"/>
  </cols>
  <sheetData>
    <row r="1" spans="1:1" x14ac:dyDescent="0.35">
      <c r="A1" s="27" t="s">
        <v>28</v>
      </c>
    </row>
    <row r="2" spans="1:1" x14ac:dyDescent="0.35">
      <c r="A2" s="23" t="s">
        <v>0</v>
      </c>
    </row>
    <row r="3" spans="1:1" x14ac:dyDescent="0.35">
      <c r="A3" s="23" t="s">
        <v>1</v>
      </c>
    </row>
    <row r="4" spans="1:1" x14ac:dyDescent="0.35">
      <c r="A4" s="23" t="s">
        <v>2</v>
      </c>
    </row>
    <row r="5" spans="1:1" x14ac:dyDescent="0.35">
      <c r="A5" s="23" t="s">
        <v>3</v>
      </c>
    </row>
    <row r="6" spans="1:1" x14ac:dyDescent="0.35">
      <c r="A6" s="23" t="s">
        <v>4</v>
      </c>
    </row>
    <row r="7" spans="1:1" x14ac:dyDescent="0.35">
      <c r="A7" s="23" t="s">
        <v>5</v>
      </c>
    </row>
    <row r="8" spans="1:1" x14ac:dyDescent="0.35">
      <c r="A8" s="23" t="s">
        <v>6</v>
      </c>
    </row>
    <row r="9" spans="1:1" x14ac:dyDescent="0.35">
      <c r="A9" s="23" t="s">
        <v>7</v>
      </c>
    </row>
    <row r="10" spans="1:1" x14ac:dyDescent="0.35">
      <c r="A10" s="23" t="s">
        <v>8</v>
      </c>
    </row>
    <row r="11" spans="1:1" x14ac:dyDescent="0.35">
      <c r="A11" s="23" t="s">
        <v>9</v>
      </c>
    </row>
    <row r="12" spans="1:1" x14ac:dyDescent="0.35">
      <c r="A12" s="23" t="s">
        <v>10</v>
      </c>
    </row>
    <row r="13" spans="1:1" x14ac:dyDescent="0.35">
      <c r="A13" s="23" t="s">
        <v>11</v>
      </c>
    </row>
    <row r="14" spans="1:1" x14ac:dyDescent="0.35">
      <c r="A14" s="23" t="s">
        <v>12</v>
      </c>
    </row>
    <row r="15" spans="1:1" x14ac:dyDescent="0.35">
      <c r="A15" s="23" t="s">
        <v>13</v>
      </c>
    </row>
    <row r="16" spans="1:1" x14ac:dyDescent="0.35">
      <c r="A16" s="23" t="s">
        <v>14</v>
      </c>
    </row>
    <row r="17" spans="1:1" x14ac:dyDescent="0.35">
      <c r="A17" s="23" t="s">
        <v>15</v>
      </c>
    </row>
    <row r="18" spans="1:1" x14ac:dyDescent="0.35">
      <c r="A18" s="23" t="s">
        <v>16</v>
      </c>
    </row>
    <row r="19" spans="1:1" x14ac:dyDescent="0.35">
      <c r="A19" s="23" t="s">
        <v>17</v>
      </c>
    </row>
    <row r="20" spans="1:1" x14ac:dyDescent="0.35">
      <c r="A20" s="23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Sample Production</vt:lpstr>
      <vt:lpstr>Header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Pambid - DSV</dc:creator>
  <cp:lastModifiedBy>Kim Pambid - DSV</cp:lastModifiedBy>
  <dcterms:created xsi:type="dcterms:W3CDTF">2024-05-16T23:18:17Z</dcterms:created>
  <dcterms:modified xsi:type="dcterms:W3CDTF">2024-05-20T05:32:01Z</dcterms:modified>
</cp:coreProperties>
</file>